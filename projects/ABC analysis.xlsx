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G5" i="1"/>
  <c r="H5" i="1" s="1"/>
  <c r="I5" i="1" s="1"/>
  <c r="G6" i="1"/>
  <c r="H6" i="1" s="1"/>
  <c r="I6" i="1" s="1"/>
  <c r="G7" i="1"/>
  <c r="G8" i="1" s="1"/>
  <c r="G4" i="1"/>
  <c r="H4" i="1" s="1"/>
  <c r="I4" i="1" s="1"/>
  <c r="H3" i="1"/>
  <c r="H2" i="1"/>
  <c r="G3" i="1"/>
  <c r="G2" i="1"/>
  <c r="F13" i="1"/>
  <c r="F2" i="1"/>
  <c r="F3" i="1"/>
  <c r="F4" i="1"/>
  <c r="F5" i="1"/>
  <c r="F6" i="1"/>
  <c r="F7" i="1"/>
  <c r="F8" i="1"/>
  <c r="F9" i="1"/>
  <c r="F10" i="1"/>
  <c r="F11" i="1"/>
  <c r="H8" i="1" l="1"/>
  <c r="I8" i="1" s="1"/>
  <c r="G9" i="1"/>
  <c r="H7" i="1"/>
  <c r="I7" i="1" s="1"/>
  <c r="G10" i="1" l="1"/>
  <c r="H9" i="1"/>
  <c r="I9" i="1" s="1"/>
  <c r="H10" i="1" l="1"/>
  <c r="I10" i="1" s="1"/>
  <c r="G11" i="1"/>
  <c r="H11" i="1" s="1"/>
  <c r="I11" i="1" s="1"/>
</calcChain>
</file>

<file path=xl/sharedStrings.xml><?xml version="1.0" encoding="utf-8"?>
<sst xmlns="http://schemas.openxmlformats.org/spreadsheetml/2006/main" count="30" uniqueCount="23">
  <si>
    <t xml:space="preserve">S.No. </t>
  </si>
  <si>
    <t>Item</t>
  </si>
  <si>
    <t xml:space="preserve">catogery </t>
  </si>
  <si>
    <t xml:space="preserve">annual deemand </t>
  </si>
  <si>
    <t>unit cost</t>
  </si>
  <si>
    <t>Steel Rod</t>
  </si>
  <si>
    <t>Copper Wire</t>
  </si>
  <si>
    <t>Aluminum Sheet</t>
  </si>
  <si>
    <t>Plastic Cover</t>
  </si>
  <si>
    <t>Mobile Battery</t>
  </si>
  <si>
    <t>Screws Pack</t>
  </si>
  <si>
    <t>Packaging Box</t>
  </si>
  <si>
    <t>Display Screen</t>
  </si>
  <si>
    <t>Rubber Seal</t>
  </si>
  <si>
    <t>Circuit Board</t>
  </si>
  <si>
    <t>A</t>
  </si>
  <si>
    <t>B</t>
  </si>
  <si>
    <t>C</t>
  </si>
  <si>
    <t>Annual value</t>
  </si>
  <si>
    <t xml:space="preserve">Total value </t>
  </si>
  <si>
    <t>Cumulative Value</t>
  </si>
  <si>
    <t>Cumulative %</t>
  </si>
  <si>
    <t>Category (A/B/C)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</si>
</sst>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D8" sqref="D8"/>
    </sheetView>
  </sheetViews>
  <sheetFormatPr defaultRowHeight="14.4" x14ac:dyDescent="0.3"/>
  <cols>
    <col min="2" max="2" width="19" customWidth="1"/>
    <col min="4" max="4" width="14.6640625" customWidth="1"/>
    <col min="5" max="5" width="11.109375" customWidth="1"/>
    <col min="6" max="6" width="14.77734375" customWidth="1"/>
    <col min="7" max="7" width="16.33203125" customWidth="1"/>
    <col min="8" max="8" width="14.21875" customWidth="1"/>
    <col min="9" max="9" width="14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20</v>
      </c>
      <c r="H1" t="s">
        <v>21</v>
      </c>
      <c r="I1" t="s">
        <v>22</v>
      </c>
    </row>
    <row r="2" spans="1:9" x14ac:dyDescent="0.3">
      <c r="A2">
        <v>1</v>
      </c>
      <c r="B2" t="s">
        <v>12</v>
      </c>
      <c r="C2" t="s">
        <v>15</v>
      </c>
      <c r="D2">
        <v>400</v>
      </c>
      <c r="E2">
        <v>2500</v>
      </c>
      <c r="F2">
        <f>D2*E2</f>
        <v>1000000</v>
      </c>
      <c r="G2">
        <f>F2</f>
        <v>1000000</v>
      </c>
      <c r="H2" s="1">
        <f>G2/$F$13</f>
        <v>0.23250406882120436</v>
      </c>
      <c r="I2" t="str">
        <f>IF(H2&lt;=0.8,"A",IF(H3&lt;=0.95,"B","C"))</f>
        <v>A</v>
      </c>
    </row>
    <row r="3" spans="1:9" x14ac:dyDescent="0.3">
      <c r="A3">
        <v>2</v>
      </c>
      <c r="B3" t="s">
        <v>9</v>
      </c>
      <c r="C3" t="s">
        <v>15</v>
      </c>
      <c r="D3">
        <v>600</v>
      </c>
      <c r="E3">
        <v>1200</v>
      </c>
      <c r="F3">
        <f t="shared" ref="F3:F11" si="0">D3*E3</f>
        <v>720000</v>
      </c>
      <c r="G3">
        <f>G2+F3</f>
        <v>1720000</v>
      </c>
      <c r="H3" s="1">
        <f t="shared" ref="H3:H11" si="1">G3/$F$13</f>
        <v>0.39990699837247151</v>
      </c>
      <c r="I3" t="str">
        <f>IF(H3&lt;=0.8,"A",IF(H3&lt;=0.95,"B","C"))</f>
        <v>A</v>
      </c>
    </row>
    <row r="4" spans="1:9" x14ac:dyDescent="0.3">
      <c r="A4">
        <v>3</v>
      </c>
      <c r="B4" t="s">
        <v>14</v>
      </c>
      <c r="C4" t="s">
        <v>16</v>
      </c>
      <c r="D4">
        <v>900</v>
      </c>
      <c r="E4">
        <v>800</v>
      </c>
      <c r="F4">
        <f t="shared" si="0"/>
        <v>720000</v>
      </c>
      <c r="G4">
        <f>G3+F4</f>
        <v>2440000</v>
      </c>
      <c r="H4" s="1">
        <f t="shared" si="1"/>
        <v>0.56730992792373869</v>
      </c>
      <c r="I4" t="str">
        <f t="shared" ref="I4:I11" si="2">IF(H4&lt;=0.8,"A",IF(H4&lt;=0.95,"B","C"))</f>
        <v>A</v>
      </c>
    </row>
    <row r="5" spans="1:9" x14ac:dyDescent="0.3">
      <c r="A5">
        <v>4</v>
      </c>
      <c r="B5" t="s">
        <v>5</v>
      </c>
      <c r="C5" t="s">
        <v>15</v>
      </c>
      <c r="D5">
        <v>1200</v>
      </c>
      <c r="E5">
        <v>500</v>
      </c>
      <c r="F5">
        <f t="shared" si="0"/>
        <v>600000</v>
      </c>
      <c r="G5">
        <f t="shared" ref="G5:G11" si="3">G4+F5</f>
        <v>3040000</v>
      </c>
      <c r="H5" s="1">
        <f t="shared" si="1"/>
        <v>0.70681236921646129</v>
      </c>
      <c r="I5" t="str">
        <f t="shared" si="2"/>
        <v>A</v>
      </c>
    </row>
    <row r="6" spans="1:9" x14ac:dyDescent="0.3">
      <c r="A6">
        <v>5</v>
      </c>
      <c r="B6" t="s">
        <v>6</v>
      </c>
      <c r="C6" t="s">
        <v>15</v>
      </c>
      <c r="D6">
        <v>800</v>
      </c>
      <c r="E6">
        <v>700</v>
      </c>
      <c r="F6">
        <f t="shared" si="0"/>
        <v>560000</v>
      </c>
      <c r="G6">
        <f t="shared" si="3"/>
        <v>3600000</v>
      </c>
      <c r="H6" s="1">
        <f t="shared" si="1"/>
        <v>0.83701464775633572</v>
      </c>
      <c r="I6" t="str">
        <f t="shared" si="2"/>
        <v>B</v>
      </c>
    </row>
    <row r="7" spans="1:9" x14ac:dyDescent="0.3">
      <c r="A7">
        <v>6</v>
      </c>
      <c r="B7" t="s">
        <v>7</v>
      </c>
      <c r="C7" t="s">
        <v>16</v>
      </c>
      <c r="D7">
        <v>1500</v>
      </c>
      <c r="E7">
        <v>300</v>
      </c>
      <c r="F7">
        <f t="shared" si="0"/>
        <v>450000</v>
      </c>
      <c r="G7">
        <f t="shared" si="3"/>
        <v>4050000</v>
      </c>
      <c r="H7" s="1">
        <f t="shared" si="1"/>
        <v>0.94164147872587767</v>
      </c>
      <c r="I7" t="str">
        <f t="shared" si="2"/>
        <v>B</v>
      </c>
    </row>
    <row r="8" spans="1:9" x14ac:dyDescent="0.3">
      <c r="A8">
        <v>7</v>
      </c>
      <c r="B8" t="s">
        <v>8</v>
      </c>
      <c r="C8" t="s">
        <v>17</v>
      </c>
      <c r="D8">
        <v>5000</v>
      </c>
      <c r="E8">
        <v>20</v>
      </c>
      <c r="F8">
        <f t="shared" si="0"/>
        <v>100000</v>
      </c>
      <c r="G8">
        <f t="shared" si="3"/>
        <v>4150000</v>
      </c>
      <c r="H8" s="1">
        <f t="shared" si="1"/>
        <v>0.9648918856079981</v>
      </c>
      <c r="I8" t="str">
        <f t="shared" si="2"/>
        <v>C</v>
      </c>
    </row>
    <row r="9" spans="1:9" x14ac:dyDescent="0.3">
      <c r="A9">
        <v>8</v>
      </c>
      <c r="B9" t="s">
        <v>13</v>
      </c>
      <c r="C9" t="s">
        <v>17</v>
      </c>
      <c r="D9">
        <v>7000</v>
      </c>
      <c r="E9">
        <v>8</v>
      </c>
      <c r="F9">
        <f t="shared" si="0"/>
        <v>56000</v>
      </c>
      <c r="G9">
        <f t="shared" si="3"/>
        <v>4206000</v>
      </c>
      <c r="H9" s="1">
        <f t="shared" si="1"/>
        <v>0.97791211346198559</v>
      </c>
      <c r="I9" t="str">
        <f t="shared" si="2"/>
        <v>C</v>
      </c>
    </row>
    <row r="10" spans="1:9" x14ac:dyDescent="0.3">
      <c r="A10">
        <v>9</v>
      </c>
      <c r="B10" t="s">
        <v>10</v>
      </c>
      <c r="C10" t="s">
        <v>17</v>
      </c>
      <c r="D10">
        <v>10000</v>
      </c>
      <c r="E10">
        <v>5</v>
      </c>
      <c r="F10">
        <f t="shared" si="0"/>
        <v>50000</v>
      </c>
      <c r="G10">
        <f t="shared" si="3"/>
        <v>4256000</v>
      </c>
      <c r="H10" s="1">
        <f t="shared" si="1"/>
        <v>0.9895373169030458</v>
      </c>
      <c r="I10" t="str">
        <f t="shared" si="2"/>
        <v>C</v>
      </c>
    </row>
    <row r="11" spans="1:9" x14ac:dyDescent="0.3">
      <c r="A11">
        <v>10</v>
      </c>
      <c r="B11" t="s">
        <v>11</v>
      </c>
      <c r="C11" t="s">
        <v>16</v>
      </c>
      <c r="D11">
        <v>3000</v>
      </c>
      <c r="E11">
        <v>15</v>
      </c>
      <c r="F11">
        <f t="shared" si="0"/>
        <v>45000</v>
      </c>
      <c r="G11">
        <f t="shared" si="3"/>
        <v>4301000</v>
      </c>
      <c r="H11" s="1">
        <f t="shared" si="1"/>
        <v>1</v>
      </c>
      <c r="I11" t="str">
        <f t="shared" si="2"/>
        <v>C</v>
      </c>
    </row>
    <row r="13" spans="1:9" x14ac:dyDescent="0.3">
      <c r="E13" t="s">
        <v>19</v>
      </c>
      <c r="F13">
        <f>SUM(F2:F11)</f>
        <v>4301000</v>
      </c>
    </row>
  </sheetData>
  <sortState ref="B2:F11">
    <sortCondition descending="1" ref="F2:F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2026-04-29T03:15:03Z</dcterms:created>
  <dcterms:modified xsi:type="dcterms:W3CDTF">2026-05-08T05:09:13Z</dcterms:modified>
</cp:coreProperties>
</file>